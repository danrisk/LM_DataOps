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morales\Documents\LM_DataOps\"/>
    </mc:Choice>
  </mc:AlternateContent>
  <xr:revisionPtr revIDLastSave="0" documentId="13_ncr:1_{DC666B55-962E-4909-9F44-600DD97EF3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  <c r="B24" i="1"/>
  <c r="C24" i="1"/>
</calcChain>
</file>

<file path=xl/sharedStrings.xml><?xml version="1.0" encoding="utf-8"?>
<sst xmlns="http://schemas.openxmlformats.org/spreadsheetml/2006/main" count="27" uniqueCount="27">
  <si>
    <t>ACCIDENTES PERSONALES COLECTIVO</t>
  </si>
  <si>
    <t>ACCIDENTES PERSONALES INDIVIDUAL</t>
  </si>
  <si>
    <t>AERONAVES</t>
  </si>
  <si>
    <t>AUTOMÓVIL CASCO</t>
  </si>
  <si>
    <t>BANCARIO</t>
  </si>
  <si>
    <t>COMBINADO EMPRES.</t>
  </si>
  <si>
    <t>DIVERSOS</t>
  </si>
  <si>
    <t>FIANZAS</t>
  </si>
  <si>
    <t>HOSPITALIZACION COLECTIVO</t>
  </si>
  <si>
    <t>HOSPITALIZACION INDIVIDUAL</t>
  </si>
  <si>
    <t>INCENDIO</t>
  </si>
  <si>
    <t>NAVES</t>
  </si>
  <si>
    <t>RAMOS TECNICOS</t>
  </si>
  <si>
    <t>RESP. CIVIL GENERAL</t>
  </si>
  <si>
    <t>RESP. CIVIL PATRONAL</t>
  </si>
  <si>
    <t>RESP. CIVIL PROFESIONAL</t>
  </si>
  <si>
    <t>RESP. CIVIL VEHICULO</t>
  </si>
  <si>
    <t>SEGUROS DE CRÉDITOS</t>
  </si>
  <si>
    <t>SEGUROS FUNERARIOS</t>
  </si>
  <si>
    <t>TRANSPORTE</t>
  </si>
  <si>
    <t>VIDA COLECTIVO</t>
  </si>
  <si>
    <t>VIDA INDIVIDUAL</t>
  </si>
  <si>
    <t xml:space="preserve">RAMO </t>
  </si>
  <si>
    <t>MONTO COMISION CONTABILIDAD</t>
  </si>
  <si>
    <t>MONTO COMISION SISIP</t>
  </si>
  <si>
    <t>TOTAL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</si>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</sst>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sqref="A1:D24"/>
    </sheetView>
  </sheetViews>
  <sheetFormatPr defaultColWidth="11.5546875" defaultRowHeight="14.4" x14ac:dyDescent="0.3"/>
  <cols>
    <col min="1" max="1" width="33.21875" bestFit="1" customWidth="1"/>
    <col min="2" max="2" width="31" bestFit="1" customWidth="1"/>
    <col min="3" max="3" width="22.21875" bestFit="1" customWidth="1"/>
    <col min="4" max="4" width="13.77734375" bestFit="1" customWidth="1"/>
  </cols>
  <sheetData>
    <row r="1" spans="1:4" x14ac:dyDescent="0.3">
      <c r="A1" s="2" t="s">
        <v>22</v>
      </c>
      <c r="B1" s="2" t="s">
        <v>23</v>
      </c>
      <c r="C1" s="2" t="s">
        <v>24</v>
      </c>
      <c r="D1" s="2" t="s">
        <v>26</v>
      </c>
    </row>
    <row r="2" spans="1:4" x14ac:dyDescent="0.3">
      <c r="A2" t="s">
        <v>0</v>
      </c>
      <c r="B2" s="1">
        <v>3468663.15</v>
      </c>
      <c r="C2" s="1">
        <v>2467995.66</v>
      </c>
      <c r="D2" s="1">
        <f>+C2-B2</f>
        <v>-1000667.4899999998</v>
      </c>
    </row>
    <row r="3" spans="1:4" x14ac:dyDescent="0.3">
      <c r="A3" t="s">
        <v>1</v>
      </c>
      <c r="B3" s="1">
        <v>602408.43000000005</v>
      </c>
      <c r="C3" s="1">
        <v>589013.30000000005</v>
      </c>
      <c r="D3" s="1">
        <f t="shared" ref="D3:D23" si="0">+C3-B3</f>
        <v>-13395.130000000005</v>
      </c>
    </row>
    <row r="4" spans="1:4" x14ac:dyDescent="0.3">
      <c r="A4" t="s">
        <v>2</v>
      </c>
      <c r="B4" s="1">
        <v>6223497.8300000001</v>
      </c>
      <c r="C4" s="1">
        <v>18474515.77</v>
      </c>
      <c r="D4" s="1">
        <f t="shared" si="0"/>
        <v>12251017.939999999</v>
      </c>
    </row>
    <row r="5" spans="1:4" x14ac:dyDescent="0.3">
      <c r="A5" t="s">
        <v>3</v>
      </c>
      <c r="B5" s="1">
        <v>33401421.25</v>
      </c>
      <c r="C5" s="1">
        <v>47488840.270000003</v>
      </c>
      <c r="D5" s="1">
        <f t="shared" si="0"/>
        <v>14087419.020000003</v>
      </c>
    </row>
    <row r="6" spans="1:4" x14ac:dyDescent="0.3">
      <c r="A6" t="s">
        <v>4</v>
      </c>
      <c r="B6" s="1">
        <v>751664.86</v>
      </c>
      <c r="C6" s="1">
        <v>0</v>
      </c>
      <c r="D6" s="1">
        <f t="shared" si="0"/>
        <v>-751664.86</v>
      </c>
    </row>
    <row r="7" spans="1:4" x14ac:dyDescent="0.3">
      <c r="A7" t="s">
        <v>5</v>
      </c>
      <c r="B7" s="1">
        <v>1650595.91</v>
      </c>
      <c r="C7" s="1">
        <v>2443498.67</v>
      </c>
      <c r="D7" s="1">
        <f t="shared" si="0"/>
        <v>792902.76</v>
      </c>
    </row>
    <row r="8" spans="1:4" x14ac:dyDescent="0.3">
      <c r="A8" t="s">
        <v>6</v>
      </c>
      <c r="B8" s="1">
        <v>2873000.39</v>
      </c>
      <c r="C8" s="1">
        <v>16552557.84</v>
      </c>
      <c r="D8" s="1">
        <f t="shared" si="0"/>
        <v>13679557.449999999</v>
      </c>
    </row>
    <row r="9" spans="1:4" x14ac:dyDescent="0.3">
      <c r="A9" t="s">
        <v>7</v>
      </c>
      <c r="B9" s="1">
        <v>42441846.939999998</v>
      </c>
      <c r="C9" s="1">
        <v>61463382.659999996</v>
      </c>
      <c r="D9" s="1">
        <f t="shared" si="0"/>
        <v>19021535.719999999</v>
      </c>
    </row>
    <row r="10" spans="1:4" x14ac:dyDescent="0.3">
      <c r="A10" t="s">
        <v>8</v>
      </c>
      <c r="B10" s="1">
        <v>2195006.29</v>
      </c>
      <c r="C10" s="1">
        <v>1163043.0900000001</v>
      </c>
      <c r="D10" s="1">
        <f t="shared" si="0"/>
        <v>-1031963.2</v>
      </c>
    </row>
    <row r="11" spans="1:4" x14ac:dyDescent="0.3">
      <c r="A11" t="s">
        <v>9</v>
      </c>
      <c r="B11" s="1">
        <v>5872635.5899999999</v>
      </c>
      <c r="C11" s="1">
        <v>5835675.1600000001</v>
      </c>
      <c r="D11" s="1">
        <f t="shared" si="0"/>
        <v>-36960.429999999702</v>
      </c>
    </row>
    <row r="12" spans="1:4" x14ac:dyDescent="0.3">
      <c r="A12" t="s">
        <v>10</v>
      </c>
      <c r="B12" s="1">
        <v>524182.69</v>
      </c>
      <c r="C12" s="1">
        <v>652715.97</v>
      </c>
      <c r="D12" s="1">
        <f t="shared" si="0"/>
        <v>128533.27999999997</v>
      </c>
    </row>
    <row r="13" spans="1:4" x14ac:dyDescent="0.3">
      <c r="A13" t="s">
        <v>11</v>
      </c>
      <c r="B13" s="1">
        <v>6401705.2800000003</v>
      </c>
      <c r="C13" s="1">
        <v>4279610.5599999996</v>
      </c>
      <c r="D13" s="1">
        <f t="shared" si="0"/>
        <v>-2122094.7200000007</v>
      </c>
    </row>
    <row r="14" spans="1:4" x14ac:dyDescent="0.3">
      <c r="A14" t="s">
        <v>12</v>
      </c>
      <c r="B14" s="1">
        <v>1471818.92</v>
      </c>
      <c r="C14" s="1">
        <v>931586.36</v>
      </c>
      <c r="D14" s="1">
        <f t="shared" si="0"/>
        <v>-540232.55999999994</v>
      </c>
    </row>
    <row r="15" spans="1:4" x14ac:dyDescent="0.3">
      <c r="A15" t="s">
        <v>13</v>
      </c>
      <c r="B15" s="1">
        <v>5704917.3899999997</v>
      </c>
      <c r="C15" s="1">
        <v>6438896.8700000001</v>
      </c>
      <c r="D15" s="1">
        <f t="shared" si="0"/>
        <v>733979.48000000045</v>
      </c>
    </row>
    <row r="16" spans="1:4" x14ac:dyDescent="0.3">
      <c r="A16" t="s">
        <v>14</v>
      </c>
      <c r="B16" s="1">
        <v>2720051.55</v>
      </c>
      <c r="C16" s="1">
        <v>1656171.55</v>
      </c>
      <c r="D16" s="1">
        <f t="shared" si="0"/>
        <v>-1063879.9999999998</v>
      </c>
    </row>
    <row r="17" spans="1:4" x14ac:dyDescent="0.3">
      <c r="A17" t="s">
        <v>15</v>
      </c>
      <c r="B17" s="1">
        <v>28165.759999999998</v>
      </c>
      <c r="C17" s="1">
        <v>1954572.1</v>
      </c>
      <c r="D17" s="1">
        <f t="shared" si="0"/>
        <v>1926406.34</v>
      </c>
    </row>
    <row r="18" spans="1:4" x14ac:dyDescent="0.3">
      <c r="A18" t="s">
        <v>16</v>
      </c>
      <c r="B18" s="1">
        <v>3905100.12</v>
      </c>
      <c r="C18" s="1">
        <v>0</v>
      </c>
      <c r="D18" s="1">
        <f t="shared" si="0"/>
        <v>-3905100.12</v>
      </c>
    </row>
    <row r="19" spans="1:4" x14ac:dyDescent="0.3">
      <c r="A19" t="s">
        <v>17</v>
      </c>
      <c r="B19" s="1">
        <v>5248883.3499999996</v>
      </c>
      <c r="C19" s="1">
        <v>4986357.74</v>
      </c>
      <c r="D19" s="1">
        <f t="shared" si="0"/>
        <v>-262525.6099999994</v>
      </c>
    </row>
    <row r="20" spans="1:4" x14ac:dyDescent="0.3">
      <c r="A20" t="s">
        <v>18</v>
      </c>
      <c r="B20" s="1">
        <v>1039438.34</v>
      </c>
      <c r="C20" s="1">
        <v>53196259.909999996</v>
      </c>
      <c r="D20" s="1">
        <f t="shared" si="0"/>
        <v>52156821.569999993</v>
      </c>
    </row>
    <row r="21" spans="1:4" x14ac:dyDescent="0.3">
      <c r="A21" t="s">
        <v>19</v>
      </c>
      <c r="B21" s="1">
        <v>6328318.0300000003</v>
      </c>
      <c r="C21" s="1">
        <v>16336612.050000001</v>
      </c>
      <c r="D21" s="1">
        <f t="shared" si="0"/>
        <v>10008294.02</v>
      </c>
    </row>
    <row r="22" spans="1:4" x14ac:dyDescent="0.3">
      <c r="A22" t="s">
        <v>20</v>
      </c>
      <c r="B22" s="1">
        <v>210331.92</v>
      </c>
      <c r="C22" s="1">
        <v>1372238.95</v>
      </c>
      <c r="D22" s="1">
        <f t="shared" si="0"/>
        <v>1161907.03</v>
      </c>
    </row>
    <row r="23" spans="1:4" x14ac:dyDescent="0.3">
      <c r="A23" t="s">
        <v>21</v>
      </c>
      <c r="B23" s="1">
        <v>1357541.38</v>
      </c>
      <c r="C23" s="1">
        <v>0</v>
      </c>
      <c r="D23" s="1">
        <f t="shared" si="0"/>
        <v>-1357541.38</v>
      </c>
    </row>
    <row r="24" spans="1:4" x14ac:dyDescent="0.3">
      <c r="A24" s="3" t="s">
        <v>25</v>
      </c>
      <c r="B24" s="4">
        <f>SUM(B2:B23)</f>
        <v>134421195.37</v>
      </c>
      <c r="C24" s="4">
        <f>SUM(C2:C23)</f>
        <v>248283544.48000005</v>
      </c>
      <c r="D24" s="4">
        <f>SUM(D2:D23)</f>
        <v>113862349.11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dmorales</dc:creator>
  <cp:lastModifiedBy>Danny Morales Aponte</cp:lastModifiedBy>
  <dcterms:created xsi:type="dcterms:W3CDTF">2026-01-15T13:24:22Z</dcterms:created>
  <dcterms:modified xsi:type="dcterms:W3CDTF">2026-01-16T20:13:30Z</dcterms:modified>
</cp:coreProperties>
</file>